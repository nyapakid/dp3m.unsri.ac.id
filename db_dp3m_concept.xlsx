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p3m.unsri\"/>
    </mc:Choice>
  </mc:AlternateContent>
  <xr:revisionPtr revIDLastSave="0" documentId="13_ncr:1_{44911604-E429-4A16-A9FB-E61C48A2C488}" xr6:coauthVersionLast="47" xr6:coauthVersionMax="47" xr10:uidLastSave="{00000000-0000-0000-0000-000000000000}"/>
  <bookViews>
    <workbookView xWindow="-120" yWindow="-120" windowWidth="29040" windowHeight="17520" activeTab="5" xr2:uid="{CCCD2181-656E-4380-A768-DEEB759A9327}"/>
  </bookViews>
  <sheets>
    <sheet name="Sheet1" sheetId="5" r:id="rId1"/>
    <sheet name="1_home" sheetId="2" r:id="rId2"/>
    <sheet name="2_tentang" sheetId="3" r:id="rId3"/>
    <sheet name="3_spmi_ami" sheetId="6" r:id="rId4"/>
    <sheet name="31_siklus_spmi" sheetId="7" r:id="rId5"/>
    <sheet name="6_peraturan_dokumen" sheetId="1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7" l="1"/>
  <c r="E8" i="7"/>
  <c r="E7" i="7"/>
  <c r="E6" i="7"/>
  <c r="E5" i="7"/>
  <c r="E4" i="7"/>
  <c r="E3" i="7"/>
  <c r="E9" i="6"/>
  <c r="F9" i="6"/>
  <c r="F8" i="6"/>
  <c r="E8" i="6"/>
  <c r="F4" i="6"/>
  <c r="F5" i="6"/>
  <c r="F6" i="6"/>
  <c r="F7" i="6"/>
  <c r="F3" i="6"/>
  <c r="E4" i="6"/>
  <c r="E5" i="6"/>
  <c r="E6" i="6"/>
  <c r="E7" i="6"/>
  <c r="E3" i="6"/>
  <c r="F4" i="3"/>
  <c r="F5" i="3"/>
  <c r="F6" i="3"/>
  <c r="F7" i="3"/>
  <c r="F8" i="3"/>
  <c r="F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3" i="2"/>
  <c r="F29" i="1"/>
  <c r="F30" i="1"/>
  <c r="F26" i="1"/>
  <c r="F27" i="1"/>
  <c r="F28" i="1"/>
  <c r="F25" i="1"/>
  <c r="F20" i="1"/>
  <c r="F21" i="1"/>
  <c r="F22" i="1"/>
  <c r="F23" i="1"/>
  <c r="F24" i="1"/>
  <c r="F17" i="1"/>
  <c r="F18" i="1"/>
  <c r="F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" i="1"/>
  <c r="E4" i="3"/>
  <c r="E5" i="3"/>
  <c r="E6" i="3"/>
  <c r="E7" i="3"/>
  <c r="E8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</calcChain>
</file>

<file path=xl/sharedStrings.xml><?xml version="1.0" encoding="utf-8"?>
<sst xmlns="http://schemas.openxmlformats.org/spreadsheetml/2006/main" count="400" uniqueCount="162">
  <si>
    <t>BUKU POS UNIVERSITAS SRIWIJAYA</t>
  </si>
  <si>
    <t>Buku</t>
  </si>
  <si>
    <t>POS/UNSRI/SPMI-04</t>
  </si>
  <si>
    <t>Berlaku</t>
  </si>
  <si>
    <t>Indonesia</t>
  </si>
  <si>
    <t>Dokumen SOP</t>
  </si>
  <si>
    <t>POS/UNSRI/SPMI04/01-[1-3]</t>
  </si>
  <si>
    <t>POS/UNSRI/SPMI04/02-[1-3]</t>
  </si>
  <si>
    <t>POS/UNSRI/SPMI04/03-[1-9]</t>
  </si>
  <si>
    <t>POS/UNSRI/SPMI04/04-[1-10]</t>
  </si>
  <si>
    <t>POS/UNSRI/SPMI04/05-[1-25]</t>
  </si>
  <si>
    <t>POS/UNSRI/SPMI04/06-[1-17]</t>
  </si>
  <si>
    <t>POS/UNSRI/SPMI04/07-[1-28]</t>
  </si>
  <si>
    <t>POS/UNSRI/SPMI04/08-[1-14]</t>
  </si>
  <si>
    <t>POS/UNSRI/SPMI04/09-[1-5]</t>
  </si>
  <si>
    <t>POS/UNSRI/SPMI04/10-[1-10]</t>
  </si>
  <si>
    <t>POS/UNSRI/SPMI04/11-[1-17]</t>
  </si>
  <si>
    <t>POS/UNSRI/SPMI04/12-[1-8]</t>
  </si>
  <si>
    <t>POS/UNSRI/SPMI04/13-[1-12]</t>
  </si>
  <si>
    <t>https://repository.unsri.ac.id/200228/1/Buku-POS-Unsri-2026.pdf</t>
  </si>
  <si>
    <t>https://repository.unsri.ac.id/200205/</t>
  </si>
  <si>
    <t>https://repository.unsri.ac.id/200206/</t>
  </si>
  <si>
    <t>https://repository.unsri.ac.id/200207/</t>
  </si>
  <si>
    <t>https://repository.unsri.ac.id/200209/</t>
  </si>
  <si>
    <t>https://repository.unsri.ac.id/200210/</t>
  </si>
  <si>
    <t>https://repository.unsri.ac.id/200211/</t>
  </si>
  <si>
    <t>https://repository.unsri.ac.id/200213/</t>
  </si>
  <si>
    <t>https://repository.unsri.ac.id/200214/</t>
  </si>
  <si>
    <t>https://repository.unsri.ac.id/200227/</t>
  </si>
  <si>
    <t>https://repository.unsri.ac.id/200225/</t>
  </si>
  <si>
    <t>https://repository.unsri.ac.id/200216/</t>
  </si>
  <si>
    <t>https://repository.unsri.ac.id/200217/</t>
  </si>
  <si>
    <t>https://repository.unsri.ac.id/200218/</t>
  </si>
  <si>
    <t>Manual Mutu Universitas Sriwijaya</t>
  </si>
  <si>
    <t>MM/UNSRI/SPMI-02</t>
  </si>
  <si>
    <t>Kebijakan Sistem Penjaminan Mutu Internal Universitas Sriwijaya</t>
  </si>
  <si>
    <t>Standar Mutu Universitas Sriwijaya</t>
  </si>
  <si>
    <t>Pertor</t>
  </si>
  <si>
    <t>KM/UNSRI/SPMI-01</t>
  </si>
  <si>
    <t>Nomor 07 Tahun 2020</t>
  </si>
  <si>
    <t>Nomor 18 tahun 2024</t>
  </si>
  <si>
    <t>SM/UNSRI/SPMI-01</t>
  </si>
  <si>
    <t>Nomor 5 Tahun 2020</t>
  </si>
  <si>
    <t>Nomor 6 Tahun 2020</t>
  </si>
  <si>
    <t>Nomor 11 Tahun 2024</t>
  </si>
  <si>
    <t>Nomor 14 Tahun 2025</t>
  </si>
  <si>
    <t>Tidak Berlaku</t>
  </si>
  <si>
    <t>IDENTITAS</t>
  </si>
  <si>
    <t>-</t>
  </si>
  <si>
    <t>KURIKULUM</t>
  </si>
  <si>
    <t>PROSES PEMBELAJARAN</t>
  </si>
  <si>
    <t>KOMPETENSI PENDIDIKAN</t>
  </si>
  <si>
    <t>TENAGA PENDIDIK DAN KEPENDIDIKAN</t>
  </si>
  <si>
    <t>SARANA DAN PRASARANA</t>
  </si>
  <si>
    <t>POS-STANDAR 1</t>
  </si>
  <si>
    <t>POS-STANDAR 2</t>
  </si>
  <si>
    <t>PENGELOLAAN</t>
  </si>
  <si>
    <t>KEUANGAN</t>
  </si>
  <si>
    <t>PENILAIAN PENDIDIKAN</t>
  </si>
  <si>
    <t>PENELITIAN</t>
  </si>
  <si>
    <t>PENGABDIAN KEPADA MASYARAKAT</t>
  </si>
  <si>
    <t>KEMAHASISWAAN</t>
  </si>
  <si>
    <t>ICT</t>
  </si>
  <si>
    <t>POS-STANDAR 3</t>
  </si>
  <si>
    <t>POS-STANDAR 4</t>
  </si>
  <si>
    <t>POS-STANDAR 5</t>
  </si>
  <si>
    <t>POS-STANDAR 6</t>
  </si>
  <si>
    <t>POS-STANDAR 7</t>
  </si>
  <si>
    <t>POS-STANDAR 8</t>
  </si>
  <si>
    <t>POS-STANDAR 9</t>
  </si>
  <si>
    <t>POS-STANDAR 10</t>
  </si>
  <si>
    <t>POS-STANDAR 11</t>
  </si>
  <si>
    <t>POS-STANDAR 12</t>
  </si>
  <si>
    <t>POS-STANDAR 13</t>
  </si>
  <si>
    <t>Sistem Penjaminan Mutu Internal Universitas Sriwijaya</t>
  </si>
  <si>
    <t>Peraturan Rektor Universitas Sriwijaya</t>
  </si>
  <si>
    <t>Standar Pendidikan Universitas Sriwijaya</t>
  </si>
  <si>
    <t>Standar Penelitian dan Pengabdian kepada Masyarakat Universitas Sriwijaya</t>
  </si>
  <si>
    <t>Penyelenggaraan Penelitian Dan Pengabdian Kepada Masyarakat Universitas Sriwijaya</t>
  </si>
  <si>
    <t>Penyelenggaraan Pendidikan di Lingkungan Universitas Sriwijaya.</t>
  </si>
  <si>
    <t>Nomor 8 Tahun 2020</t>
  </si>
  <si>
    <t>Nomor 9 Tahun 2020</t>
  </si>
  <si>
    <t>Nomor 10 Tahun 2020</t>
  </si>
  <si>
    <t>Peraturan Menteri Riset, Teknologi, dan Pendidikan Tinggi Republik Indonesia</t>
  </si>
  <si>
    <t>Statuta Universitas Sriwijaya</t>
  </si>
  <si>
    <t>Kurikulum Program Studi Universitas Sriwijaya</t>
  </si>
  <si>
    <t>Tahun Akademik dan Kalender Akademuik Universitas Sriwijaya</t>
  </si>
  <si>
    <t>Penyelenggaraan E-Learning di Universitas Sriwijaya</t>
  </si>
  <si>
    <t>Permen</t>
  </si>
  <si>
    <t>Nomor 17 Tahun 2018</t>
  </si>
  <si>
    <t>Organisasi dan Tata Kerja Universitas Sriwijaya</t>
  </si>
  <si>
    <t>Nomor 12 Tahun 2015</t>
  </si>
  <si>
    <t>Direktorat Pengembangan Pendidikan dan Penjaminan Mutu Universitas Sriwijaya</t>
  </si>
  <si>
    <t>sertifikat aipt</t>
  </si>
  <si>
    <t>akreditasi nasional</t>
  </si>
  <si>
    <t>akreditasi internasional</t>
  </si>
  <si>
    <t>https://dp3m.unsri.ac.id/akreditas-aipt</t>
  </si>
  <si>
    <t>https://dp3m.unsri.ac.id/akreditas-status</t>
  </si>
  <si>
    <t>https://dp3m.unsri.ac.id/akreditas-inter-status</t>
  </si>
  <si>
    <t>profil dp3m</t>
  </si>
  <si>
    <t>gambar bloob</t>
  </si>
  <si>
    <t>home_id</t>
  </si>
  <si>
    <t>home_lebel_konten</t>
  </si>
  <si>
    <t>peraturan_dokumen_id</t>
  </si>
  <si>
    <t>peraturan_dokumen_nama</t>
  </si>
  <si>
    <t>peraturan_dokumen_tentang</t>
  </si>
  <si>
    <t>peraturan_dokumen_bentuk</t>
  </si>
  <si>
    <t>peraturan_dokumen_nomor</t>
  </si>
  <si>
    <t>peraturan_dokumen_tahun</t>
  </si>
  <si>
    <t>peraturan_dokumen_status</t>
  </si>
  <si>
    <t>peraturan_dokumen_bahasa</t>
  </si>
  <si>
    <t>peraturan_dokumen_link</t>
  </si>
  <si>
    <t>visi</t>
  </si>
  <si>
    <t>misi</t>
  </si>
  <si>
    <t>tujuan</t>
  </si>
  <si>
    <t>strategis</t>
  </si>
  <si>
    <t>Visi, Misi, Tujuan, dan Strategi DP3M</t>
  </si>
  <si>
    <t>Struktur Organisasi</t>
  </si>
  <si>
    <t>tentang_id</t>
  </si>
  <si>
    <t>tentang_lebel_konten</t>
  </si>
  <si>
    <t>tentang_konten</t>
  </si>
  <si>
    <t>tentang_gambar_konten</t>
  </si>
  <si>
    <t>longbloob konten</t>
  </si>
  <si>
    <t>oktet</t>
  </si>
  <si>
    <t>menu nomor</t>
  </si>
  <si>
    <t>submenu nomor</t>
  </si>
  <si>
    <t>section nomor</t>
  </si>
  <si>
    <t>post number</t>
  </si>
  <si>
    <t>0001</t>
  </si>
  <si>
    <t>0002</t>
  </si>
  <si>
    <t>0003</t>
  </si>
  <si>
    <t>0004</t>
  </si>
  <si>
    <t>0005</t>
  </si>
  <si>
    <t>primarykey generator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</si>
  <si>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</si>
  <si>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</si>
  <si>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</si>
  <si>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</si>
  <si>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</si>
  <si>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</si>
  <si>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</si>
  <si>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</si>
  <si>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</si>
  <si>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spmi_ami_id</t>
  </si>
  <si>
    <t>spmi_ami_konten</t>
  </si>
  <si>
    <t>home_section_id</t>
  </si>
  <si>
    <t>tentang_section_id</t>
  </si>
  <si>
    <t>peraturan_dokumen_section_id</t>
  </si>
  <si>
    <t>spmi_ami_section_id</t>
  </si>
  <si>
    <t>spmi_ami_gambar_konten</t>
  </si>
  <si>
    <t>spmi_ami_lebel_konten</t>
  </si>
  <si>
    <t>home_gambar_konten</t>
  </si>
  <si>
    <t>TENTANG SPMI</t>
  </si>
  <si>
    <t>KERANGKA DASAR SISTEM MANAJEMEN MUTU UNIVERSITAS SRIWIJAYA</t>
  </si>
  <si>
    <t>PRINSIP SPMI UNIVERSITAS SRIWIJAYA</t>
  </si>
  <si>
    <t>STRATEGI SPMI UNIVERSITAS SRIWIJAYA</t>
  </si>
  <si>
    <t>RUANG LINGKUP SPMI UNIVERSITAS SRIWIJAYA</t>
  </si>
  <si>
    <t>Standar Universitas Sriwijaya</t>
  </si>
  <si>
    <t>Audit Mutu Internal</t>
  </si>
  <si>
    <t>summernote longtext konten</t>
  </si>
  <si>
    <t>home_konten_text-long</t>
  </si>
  <si>
    <t>home_konten_text-short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</si>
</sst>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1D01-8020-4AC5-9291-8D34A176B120}">
  <dimension ref="A1:D7"/>
  <sheetViews>
    <sheetView workbookViewId="0">
      <selection activeCell="A2" sqref="A2:D7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</cols>
  <sheetData>
    <row r="1" spans="1:4" x14ac:dyDescent="0.25">
      <c r="A1" s="4" t="s">
        <v>123</v>
      </c>
      <c r="B1" s="4"/>
      <c r="C1" s="4"/>
      <c r="D1" s="4"/>
    </row>
    <row r="2" spans="1:4" x14ac:dyDescent="0.25">
      <c r="A2">
        <v>1</v>
      </c>
      <c r="B2">
        <v>2</v>
      </c>
      <c r="C2">
        <v>3</v>
      </c>
      <c r="D2">
        <v>4</v>
      </c>
    </row>
    <row r="3" spans="1:4" x14ac:dyDescent="0.25">
      <c r="A3" t="s">
        <v>124</v>
      </c>
      <c r="B3" t="s">
        <v>125</v>
      </c>
      <c r="C3" t="s">
        <v>126</v>
      </c>
      <c r="D3" t="s">
        <v>127</v>
      </c>
    </row>
    <row r="4" spans="1:4" x14ac:dyDescent="0.25">
      <c r="A4">
        <v>1</v>
      </c>
      <c r="B4">
        <v>0</v>
      </c>
      <c r="C4">
        <v>1</v>
      </c>
      <c r="D4" s="3" t="s">
        <v>128</v>
      </c>
    </row>
    <row r="5" spans="1:4" x14ac:dyDescent="0.25">
      <c r="A5">
        <v>1</v>
      </c>
      <c r="B5">
        <v>0</v>
      </c>
      <c r="C5">
        <v>2</v>
      </c>
      <c r="D5" s="3" t="s">
        <v>128</v>
      </c>
    </row>
    <row r="6" spans="1:4" x14ac:dyDescent="0.25">
      <c r="A6">
        <v>1</v>
      </c>
      <c r="B6">
        <v>0</v>
      </c>
      <c r="C6">
        <v>2</v>
      </c>
      <c r="D6" s="3" t="s">
        <v>129</v>
      </c>
    </row>
    <row r="7" spans="1:4" x14ac:dyDescent="0.25">
      <c r="A7">
        <v>1</v>
      </c>
      <c r="B7">
        <v>0</v>
      </c>
      <c r="C7">
        <v>2</v>
      </c>
      <c r="D7" s="3" t="s">
        <v>130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08D7-B264-4153-8609-1A297CDDE28E}">
  <dimension ref="A1:J16"/>
  <sheetViews>
    <sheetView workbookViewId="0">
      <selection activeCell="H4" sqref="H4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  <col min="6" max="6" width="16" bestFit="1" customWidth="1"/>
    <col min="7" max="8" width="75" bestFit="1" customWidth="1"/>
    <col min="9" max="9" width="26.42578125" bestFit="1" customWidth="1"/>
    <col min="10" max="10" width="22.5703125" customWidth="1"/>
    <col min="11" max="11" width="75" bestFit="1" customWidth="1"/>
  </cols>
  <sheetData>
    <row r="1" spans="1:10" x14ac:dyDescent="0.25">
      <c r="A1" s="4" t="s">
        <v>133</v>
      </c>
      <c r="B1" s="4"/>
      <c r="C1" s="4"/>
      <c r="D1" s="4"/>
    </row>
    <row r="2" spans="1:10" x14ac:dyDescent="0.25">
      <c r="A2" t="s">
        <v>124</v>
      </c>
      <c r="B2" t="s">
        <v>125</v>
      </c>
      <c r="C2" t="s">
        <v>126</v>
      </c>
      <c r="D2" t="s">
        <v>127</v>
      </c>
      <c r="E2" t="s">
        <v>101</v>
      </c>
      <c r="F2" t="s">
        <v>145</v>
      </c>
      <c r="G2" t="s">
        <v>102</v>
      </c>
      <c r="H2" t="s">
        <v>161</v>
      </c>
      <c r="I2" t="s">
        <v>160</v>
      </c>
      <c r="J2" t="s">
        <v>151</v>
      </c>
    </row>
    <row r="3" spans="1:10" x14ac:dyDescent="0.25">
      <c r="A3">
        <v>1</v>
      </c>
      <c r="B3">
        <v>0</v>
      </c>
      <c r="C3">
        <v>1</v>
      </c>
      <c r="D3" s="3" t="s">
        <v>128</v>
      </c>
      <c r="E3" t="str">
        <f>A3&amp;B3&amp;C3&amp;D3</f>
        <v>1010001</v>
      </c>
      <c r="F3" t="str">
        <f>A3&amp;B3&amp;C3</f>
        <v>101</v>
      </c>
      <c r="G3" t="s">
        <v>92</v>
      </c>
      <c r="H3" t="s">
        <v>48</v>
      </c>
      <c r="I3" t="s">
        <v>48</v>
      </c>
      <c r="J3" t="s">
        <v>48</v>
      </c>
    </row>
    <row r="4" spans="1:10" x14ac:dyDescent="0.25">
      <c r="A4">
        <v>1</v>
      </c>
      <c r="B4">
        <v>0</v>
      </c>
      <c r="C4">
        <v>2</v>
      </c>
      <c r="D4" s="3" t="s">
        <v>128</v>
      </c>
      <c r="E4" t="str">
        <f t="shared" ref="E4:E16" si="0">A4&amp;B4&amp;C4&amp;D4</f>
        <v>1020001</v>
      </c>
      <c r="F4" t="str">
        <f>A4&amp;B4&amp;C4</f>
        <v>102</v>
      </c>
      <c r="G4" t="s">
        <v>93</v>
      </c>
      <c r="H4" t="s">
        <v>96</v>
      </c>
      <c r="I4" t="s">
        <v>48</v>
      </c>
      <c r="J4" t="s">
        <v>48</v>
      </c>
    </row>
    <row r="5" spans="1:10" x14ac:dyDescent="0.25">
      <c r="A5">
        <v>1</v>
      </c>
      <c r="B5">
        <v>0</v>
      </c>
      <c r="C5">
        <v>2</v>
      </c>
      <c r="D5" s="3" t="s">
        <v>129</v>
      </c>
      <c r="E5" t="str">
        <f t="shared" si="0"/>
        <v>1020002</v>
      </c>
      <c r="F5" t="str">
        <f>A5&amp;B5&amp;C5</f>
        <v>102</v>
      </c>
      <c r="G5" t="s">
        <v>94</v>
      </c>
      <c r="H5" t="s">
        <v>97</v>
      </c>
      <c r="I5" t="s">
        <v>48</v>
      </c>
      <c r="J5" t="s">
        <v>48</v>
      </c>
    </row>
    <row r="6" spans="1:10" x14ac:dyDescent="0.25">
      <c r="A6">
        <v>1</v>
      </c>
      <c r="B6">
        <v>0</v>
      </c>
      <c r="C6">
        <v>2</v>
      </c>
      <c r="D6" s="3" t="s">
        <v>130</v>
      </c>
      <c r="E6" t="str">
        <f t="shared" si="0"/>
        <v>1020003</v>
      </c>
      <c r="F6" t="str">
        <f>A6&amp;B6&amp;C6</f>
        <v>102</v>
      </c>
      <c r="G6" t="s">
        <v>95</v>
      </c>
      <c r="H6" t="s">
        <v>98</v>
      </c>
      <c r="I6" t="s">
        <v>48</v>
      </c>
      <c r="J6" t="s">
        <v>48</v>
      </c>
    </row>
    <row r="7" spans="1:10" x14ac:dyDescent="0.25">
      <c r="A7">
        <v>1</v>
      </c>
      <c r="B7">
        <v>0</v>
      </c>
      <c r="C7">
        <v>3</v>
      </c>
      <c r="D7" s="3" t="s">
        <v>128</v>
      </c>
      <c r="E7" t="str">
        <f t="shared" si="0"/>
        <v>1030001</v>
      </c>
      <c r="F7" t="str">
        <f>A7&amp;B7&amp;C7</f>
        <v>103</v>
      </c>
      <c r="G7" t="s">
        <v>99</v>
      </c>
      <c r="H7" t="s">
        <v>48</v>
      </c>
      <c r="I7" t="s">
        <v>159</v>
      </c>
      <c r="J7" t="s">
        <v>48</v>
      </c>
    </row>
    <row r="8" spans="1:10" x14ac:dyDescent="0.25">
      <c r="A8">
        <v>1</v>
      </c>
      <c r="B8">
        <v>0</v>
      </c>
      <c r="C8">
        <v>4</v>
      </c>
      <c r="D8" s="3" t="s">
        <v>128</v>
      </c>
      <c r="E8" t="str">
        <f t="shared" si="0"/>
        <v>1040001</v>
      </c>
      <c r="F8" t="str">
        <f>A8&amp;B8&amp;C8</f>
        <v>104</v>
      </c>
      <c r="G8" t="s">
        <v>48</v>
      </c>
      <c r="H8" t="s">
        <v>48</v>
      </c>
      <c r="I8" t="s">
        <v>48</v>
      </c>
      <c r="J8" t="s">
        <v>100</v>
      </c>
    </row>
    <row r="9" spans="1:10" x14ac:dyDescent="0.25">
      <c r="A9">
        <v>1</v>
      </c>
      <c r="B9">
        <v>0</v>
      </c>
      <c r="C9">
        <v>5</v>
      </c>
      <c r="D9" s="3" t="s">
        <v>128</v>
      </c>
      <c r="E9" t="str">
        <f t="shared" si="0"/>
        <v>1050001</v>
      </c>
      <c r="F9" t="str">
        <f>A9&amp;B9&amp;C9</f>
        <v>105</v>
      </c>
      <c r="G9" t="s">
        <v>48</v>
      </c>
      <c r="H9" t="s">
        <v>48</v>
      </c>
      <c r="I9" t="s">
        <v>48</v>
      </c>
      <c r="J9" t="s">
        <v>100</v>
      </c>
    </row>
    <row r="10" spans="1:10" x14ac:dyDescent="0.25">
      <c r="A10">
        <v>1</v>
      </c>
      <c r="B10">
        <v>0</v>
      </c>
      <c r="C10">
        <v>5</v>
      </c>
      <c r="D10" s="3" t="s">
        <v>129</v>
      </c>
      <c r="E10" t="str">
        <f t="shared" si="0"/>
        <v>1050002</v>
      </c>
      <c r="F10" t="str">
        <f>A10&amp;B10&amp;C10</f>
        <v>105</v>
      </c>
      <c r="G10" t="s">
        <v>48</v>
      </c>
      <c r="H10" t="s">
        <v>48</v>
      </c>
      <c r="I10" t="s">
        <v>48</v>
      </c>
      <c r="J10" t="s">
        <v>100</v>
      </c>
    </row>
    <row r="11" spans="1:10" x14ac:dyDescent="0.25">
      <c r="A11">
        <v>1</v>
      </c>
      <c r="B11">
        <v>0</v>
      </c>
      <c r="C11">
        <v>5</v>
      </c>
      <c r="D11" s="3" t="s">
        <v>130</v>
      </c>
      <c r="E11" t="str">
        <f t="shared" si="0"/>
        <v>1050003</v>
      </c>
      <c r="F11" t="str">
        <f>A11&amp;B11&amp;C11</f>
        <v>105</v>
      </c>
      <c r="G11" t="s">
        <v>48</v>
      </c>
      <c r="H11" t="s">
        <v>48</v>
      </c>
      <c r="I11" t="s">
        <v>48</v>
      </c>
      <c r="J11" t="s">
        <v>100</v>
      </c>
    </row>
    <row r="12" spans="1:10" x14ac:dyDescent="0.25">
      <c r="A12">
        <v>1</v>
      </c>
      <c r="B12">
        <v>0</v>
      </c>
      <c r="C12">
        <v>6</v>
      </c>
      <c r="D12" s="3" t="s">
        <v>128</v>
      </c>
      <c r="E12" t="str">
        <f t="shared" si="0"/>
        <v>1060001</v>
      </c>
      <c r="F12" t="str">
        <f>A12&amp;B12&amp;C12</f>
        <v>106</v>
      </c>
      <c r="G12" t="s">
        <v>48</v>
      </c>
      <c r="H12" t="s">
        <v>48</v>
      </c>
      <c r="I12" t="s">
        <v>48</v>
      </c>
      <c r="J12" t="s">
        <v>100</v>
      </c>
    </row>
    <row r="13" spans="1:10" x14ac:dyDescent="0.25">
      <c r="A13">
        <v>1</v>
      </c>
      <c r="B13">
        <v>0</v>
      </c>
      <c r="C13">
        <v>6</v>
      </c>
      <c r="D13" s="3" t="s">
        <v>129</v>
      </c>
      <c r="E13" t="str">
        <f t="shared" si="0"/>
        <v>1060002</v>
      </c>
      <c r="F13" t="str">
        <f>A13&amp;B13&amp;C13</f>
        <v>106</v>
      </c>
      <c r="G13" t="s">
        <v>48</v>
      </c>
      <c r="H13" t="s">
        <v>48</v>
      </c>
      <c r="I13" t="s">
        <v>48</v>
      </c>
      <c r="J13" t="s">
        <v>100</v>
      </c>
    </row>
    <row r="14" spans="1:10" x14ac:dyDescent="0.25">
      <c r="A14">
        <v>1</v>
      </c>
      <c r="B14">
        <v>0</v>
      </c>
      <c r="C14">
        <v>6</v>
      </c>
      <c r="D14" s="3" t="s">
        <v>130</v>
      </c>
      <c r="E14" t="str">
        <f t="shared" si="0"/>
        <v>1060003</v>
      </c>
      <c r="F14" t="str">
        <f>A14&amp;B14&amp;C14</f>
        <v>106</v>
      </c>
      <c r="G14" t="s">
        <v>48</v>
      </c>
      <c r="H14" t="s">
        <v>48</v>
      </c>
      <c r="I14" t="s">
        <v>48</v>
      </c>
      <c r="J14" t="s">
        <v>100</v>
      </c>
    </row>
    <row r="15" spans="1:10" x14ac:dyDescent="0.25">
      <c r="A15">
        <v>1</v>
      </c>
      <c r="B15">
        <v>0</v>
      </c>
      <c r="C15">
        <v>6</v>
      </c>
      <c r="D15" s="3" t="s">
        <v>131</v>
      </c>
      <c r="E15" t="str">
        <f t="shared" si="0"/>
        <v>1060004</v>
      </c>
      <c r="F15" t="str">
        <f>A15&amp;B15&amp;C15</f>
        <v>106</v>
      </c>
      <c r="G15" t="s">
        <v>48</v>
      </c>
      <c r="H15" t="s">
        <v>48</v>
      </c>
      <c r="I15" t="s">
        <v>48</v>
      </c>
      <c r="J15" t="s">
        <v>100</v>
      </c>
    </row>
    <row r="16" spans="1:10" x14ac:dyDescent="0.25">
      <c r="A16">
        <v>1</v>
      </c>
      <c r="B16">
        <v>0</v>
      </c>
      <c r="C16">
        <v>6</v>
      </c>
      <c r="D16" s="3" t="s">
        <v>132</v>
      </c>
      <c r="E16" t="str">
        <f t="shared" si="0"/>
        <v>1060005</v>
      </c>
      <c r="F16" t="str">
        <f>A16&amp;B16&amp;C16</f>
        <v>106</v>
      </c>
      <c r="G16" t="s">
        <v>48</v>
      </c>
      <c r="H16" t="s">
        <v>48</v>
      </c>
      <c r="I16" t="s">
        <v>48</v>
      </c>
      <c r="J16" t="s">
        <v>100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22C-693F-41BE-BA3D-A63D5CFF4A85}">
  <dimension ref="A1:I8"/>
  <sheetViews>
    <sheetView workbookViewId="0">
      <selection activeCell="H6" sqref="H6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  <col min="5" max="5" width="10.140625" bestFit="1" customWidth="1"/>
    <col min="6" max="6" width="17.7109375" bestFit="1" customWidth="1"/>
    <col min="7" max="7" width="33.85546875" bestFit="1" customWidth="1"/>
    <col min="8" max="8" width="26.42578125" bestFit="1" customWidth="1"/>
    <col min="9" max="9" width="22.5703125" bestFit="1" customWidth="1"/>
  </cols>
  <sheetData>
    <row r="1" spans="1:9" x14ac:dyDescent="0.25">
      <c r="A1" s="4" t="s">
        <v>133</v>
      </c>
      <c r="B1" s="4"/>
      <c r="C1" s="4"/>
      <c r="D1" s="4"/>
    </row>
    <row r="2" spans="1:9" x14ac:dyDescent="0.25">
      <c r="A2" t="s">
        <v>124</v>
      </c>
      <c r="B2" t="s">
        <v>125</v>
      </c>
      <c r="C2" t="s">
        <v>126</v>
      </c>
      <c r="D2" t="s">
        <v>127</v>
      </c>
      <c r="E2" t="s">
        <v>118</v>
      </c>
      <c r="F2" t="s">
        <v>146</v>
      </c>
      <c r="G2" t="s">
        <v>119</v>
      </c>
      <c r="H2" t="s">
        <v>120</v>
      </c>
      <c r="I2" t="s">
        <v>121</v>
      </c>
    </row>
    <row r="3" spans="1:9" x14ac:dyDescent="0.25">
      <c r="A3">
        <v>2</v>
      </c>
      <c r="B3">
        <v>1</v>
      </c>
      <c r="C3">
        <v>1</v>
      </c>
      <c r="D3" s="3" t="s">
        <v>128</v>
      </c>
      <c r="E3" t="str">
        <f>A3&amp;B3&amp;C3&amp;D3</f>
        <v>2110001</v>
      </c>
      <c r="F3" t="str">
        <f>A3&amp;B3&amp;C3</f>
        <v>211</v>
      </c>
      <c r="G3" t="s">
        <v>116</v>
      </c>
      <c r="H3" t="s">
        <v>159</v>
      </c>
      <c r="I3" t="s">
        <v>48</v>
      </c>
    </row>
    <row r="4" spans="1:9" x14ac:dyDescent="0.25">
      <c r="A4">
        <v>2</v>
      </c>
      <c r="B4">
        <v>1</v>
      </c>
      <c r="C4">
        <v>2</v>
      </c>
      <c r="D4" s="3" t="s">
        <v>128</v>
      </c>
      <c r="E4" t="str">
        <f t="shared" ref="E4:E8" si="0">A4&amp;B4&amp;C4&amp;D4</f>
        <v>2120001</v>
      </c>
      <c r="F4" t="str">
        <f>A4&amp;B4&amp;C4</f>
        <v>212</v>
      </c>
      <c r="G4" t="s">
        <v>112</v>
      </c>
      <c r="H4" t="s">
        <v>159</v>
      </c>
      <c r="I4" t="s">
        <v>48</v>
      </c>
    </row>
    <row r="5" spans="1:9" x14ac:dyDescent="0.25">
      <c r="A5">
        <v>2</v>
      </c>
      <c r="B5">
        <v>1</v>
      </c>
      <c r="C5">
        <v>3</v>
      </c>
      <c r="D5" s="3" t="s">
        <v>128</v>
      </c>
      <c r="E5" t="str">
        <f t="shared" si="0"/>
        <v>2130001</v>
      </c>
      <c r="F5" t="str">
        <f>A5&amp;B5&amp;C5</f>
        <v>213</v>
      </c>
      <c r="G5" t="s">
        <v>113</v>
      </c>
      <c r="H5" t="s">
        <v>159</v>
      </c>
      <c r="I5" t="s">
        <v>48</v>
      </c>
    </row>
    <row r="6" spans="1:9" x14ac:dyDescent="0.25">
      <c r="A6">
        <v>2</v>
      </c>
      <c r="B6">
        <v>1</v>
      </c>
      <c r="C6">
        <v>4</v>
      </c>
      <c r="D6" s="3" t="s">
        <v>128</v>
      </c>
      <c r="E6" t="str">
        <f t="shared" si="0"/>
        <v>2140001</v>
      </c>
      <c r="F6" t="str">
        <f>A6&amp;B6&amp;C6</f>
        <v>214</v>
      </c>
      <c r="G6" t="s">
        <v>114</v>
      </c>
      <c r="H6" t="s">
        <v>159</v>
      </c>
      <c r="I6" t="s">
        <v>48</v>
      </c>
    </row>
    <row r="7" spans="1:9" x14ac:dyDescent="0.25">
      <c r="A7">
        <v>2</v>
      </c>
      <c r="B7">
        <v>1</v>
      </c>
      <c r="C7">
        <v>5</v>
      </c>
      <c r="D7" s="3" t="s">
        <v>128</v>
      </c>
      <c r="E7" t="str">
        <f t="shared" si="0"/>
        <v>2150001</v>
      </c>
      <c r="F7" t="str">
        <f>A7&amp;B7&amp;C7</f>
        <v>215</v>
      </c>
      <c r="G7" t="s">
        <v>115</v>
      </c>
      <c r="H7" t="s">
        <v>159</v>
      </c>
      <c r="I7" t="s">
        <v>48</v>
      </c>
    </row>
    <row r="8" spans="1:9" x14ac:dyDescent="0.25">
      <c r="A8">
        <v>2</v>
      </c>
      <c r="B8">
        <v>2</v>
      </c>
      <c r="C8">
        <v>1</v>
      </c>
      <c r="D8" s="3" t="s">
        <v>128</v>
      </c>
      <c r="E8" t="str">
        <f t="shared" si="0"/>
        <v>2210001</v>
      </c>
      <c r="F8" t="str">
        <f>A8&amp;B8&amp;C8</f>
        <v>221</v>
      </c>
      <c r="G8" t="s">
        <v>117</v>
      </c>
      <c r="H8" t="s">
        <v>48</v>
      </c>
      <c r="I8" t="s">
        <v>122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FDBE-6C84-4598-A097-5DF124E3005B}">
  <dimension ref="A1:I10"/>
  <sheetViews>
    <sheetView workbookViewId="0">
      <selection sqref="A1:E9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  <col min="5" max="5" width="12.28515625" bestFit="1" customWidth="1"/>
    <col min="6" max="6" width="19.85546875" bestFit="1" customWidth="1"/>
    <col min="7" max="7" width="63.140625" bestFit="1" customWidth="1"/>
    <col min="8" max="8" width="26.42578125" bestFit="1" customWidth="1"/>
    <col min="9" max="9" width="24.7109375" bestFit="1" customWidth="1"/>
  </cols>
  <sheetData>
    <row r="1" spans="1:9" x14ac:dyDescent="0.25">
      <c r="A1" s="4" t="s">
        <v>133</v>
      </c>
      <c r="B1" s="4"/>
      <c r="C1" s="4"/>
      <c r="D1" s="4"/>
    </row>
    <row r="2" spans="1:9" x14ac:dyDescent="0.25">
      <c r="A2" t="s">
        <v>124</v>
      </c>
      <c r="B2" t="s">
        <v>125</v>
      </c>
      <c r="C2" t="s">
        <v>126</v>
      </c>
      <c r="D2" t="s">
        <v>127</v>
      </c>
      <c r="E2" t="s">
        <v>143</v>
      </c>
      <c r="F2" t="s">
        <v>148</v>
      </c>
      <c r="G2" t="s">
        <v>150</v>
      </c>
      <c r="H2" t="s">
        <v>144</v>
      </c>
      <c r="I2" t="s">
        <v>149</v>
      </c>
    </row>
    <row r="3" spans="1:9" x14ac:dyDescent="0.25">
      <c r="A3">
        <v>3</v>
      </c>
      <c r="B3">
        <v>1</v>
      </c>
      <c r="C3">
        <v>1</v>
      </c>
      <c r="D3" s="3" t="s">
        <v>128</v>
      </c>
      <c r="E3" t="str">
        <f>A3&amp;B3&amp;C3&amp;D3</f>
        <v>3110001</v>
      </c>
      <c r="F3" t="str">
        <f>A3&amp;B3&amp;C3</f>
        <v>311</v>
      </c>
      <c r="G3" t="s">
        <v>152</v>
      </c>
      <c r="H3" t="s">
        <v>159</v>
      </c>
      <c r="I3" t="s">
        <v>48</v>
      </c>
    </row>
    <row r="4" spans="1:9" x14ac:dyDescent="0.25">
      <c r="A4">
        <v>3</v>
      </c>
      <c r="B4">
        <v>1</v>
      </c>
      <c r="C4">
        <v>2</v>
      </c>
      <c r="D4" s="3" t="s">
        <v>128</v>
      </c>
      <c r="E4" t="str">
        <f t="shared" ref="E4:E8" si="0">A4&amp;B4&amp;C4&amp;D4</f>
        <v>3120001</v>
      </c>
      <c r="F4" t="str">
        <f t="shared" ref="F4:F8" si="1">A4&amp;B4&amp;C4</f>
        <v>312</v>
      </c>
      <c r="G4" t="s">
        <v>153</v>
      </c>
      <c r="H4" t="s">
        <v>159</v>
      </c>
      <c r="I4" t="s">
        <v>48</v>
      </c>
    </row>
    <row r="5" spans="1:9" x14ac:dyDescent="0.25">
      <c r="A5">
        <v>3</v>
      </c>
      <c r="B5">
        <v>1</v>
      </c>
      <c r="C5">
        <v>3</v>
      </c>
      <c r="D5" s="3" t="s">
        <v>128</v>
      </c>
      <c r="E5" t="str">
        <f t="shared" si="0"/>
        <v>3130001</v>
      </c>
      <c r="F5" t="str">
        <f t="shared" si="1"/>
        <v>313</v>
      </c>
      <c r="G5" t="s">
        <v>154</v>
      </c>
      <c r="H5" t="s">
        <v>159</v>
      </c>
      <c r="I5" t="s">
        <v>48</v>
      </c>
    </row>
    <row r="6" spans="1:9" x14ac:dyDescent="0.25">
      <c r="A6">
        <v>3</v>
      </c>
      <c r="B6">
        <v>2</v>
      </c>
      <c r="C6">
        <v>1</v>
      </c>
      <c r="D6" s="3" t="s">
        <v>128</v>
      </c>
      <c r="E6" t="str">
        <f t="shared" si="0"/>
        <v>3210001</v>
      </c>
      <c r="F6" t="str">
        <f t="shared" si="1"/>
        <v>321</v>
      </c>
      <c r="G6" t="s">
        <v>155</v>
      </c>
      <c r="H6" t="s">
        <v>159</v>
      </c>
      <c r="I6" t="s">
        <v>48</v>
      </c>
    </row>
    <row r="7" spans="1:9" x14ac:dyDescent="0.25">
      <c r="A7">
        <v>3</v>
      </c>
      <c r="B7">
        <v>2</v>
      </c>
      <c r="C7">
        <v>2</v>
      </c>
      <c r="D7" s="3" t="s">
        <v>128</v>
      </c>
      <c r="E7" t="str">
        <f t="shared" si="0"/>
        <v>3220001</v>
      </c>
      <c r="F7" t="str">
        <f t="shared" si="1"/>
        <v>322</v>
      </c>
      <c r="G7" t="s">
        <v>156</v>
      </c>
      <c r="H7" t="s">
        <v>48</v>
      </c>
      <c r="I7" t="s">
        <v>122</v>
      </c>
    </row>
    <row r="8" spans="1:9" x14ac:dyDescent="0.25">
      <c r="A8">
        <v>3</v>
      </c>
      <c r="B8">
        <v>4</v>
      </c>
      <c r="C8">
        <v>1</v>
      </c>
      <c r="D8" s="3" t="s">
        <v>128</v>
      </c>
      <c r="E8" t="str">
        <f t="shared" si="0"/>
        <v>3410001</v>
      </c>
      <c r="F8" t="str">
        <f t="shared" si="1"/>
        <v>341</v>
      </c>
      <c r="G8" t="s">
        <v>157</v>
      </c>
      <c r="H8" t="s">
        <v>159</v>
      </c>
      <c r="I8" t="s">
        <v>48</v>
      </c>
    </row>
    <row r="9" spans="1:9" x14ac:dyDescent="0.25">
      <c r="A9">
        <v>3</v>
      </c>
      <c r="B9">
        <v>5</v>
      </c>
      <c r="C9">
        <v>1</v>
      </c>
      <c r="D9" s="3" t="s">
        <v>128</v>
      </c>
      <c r="E9" t="str">
        <f t="shared" ref="E9" si="2">A9&amp;B9&amp;C9&amp;D9</f>
        <v>3510001</v>
      </c>
      <c r="F9" t="str">
        <f t="shared" ref="F9" si="3">A9&amp;B9&amp;C9</f>
        <v>351</v>
      </c>
      <c r="G9" t="s">
        <v>158</v>
      </c>
      <c r="H9" t="s">
        <v>159</v>
      </c>
      <c r="I9" t="s">
        <v>48</v>
      </c>
    </row>
    <row r="10" spans="1:9" x14ac:dyDescent="0.25">
      <c r="D10" s="3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9C1E-C73B-4E6D-BF91-2588FE7ABD00}">
  <dimension ref="A1:E9"/>
  <sheetViews>
    <sheetView workbookViewId="0">
      <selection activeCell="E2" sqref="E2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  <col min="5" max="5" width="12.28515625" bestFit="1" customWidth="1"/>
  </cols>
  <sheetData>
    <row r="1" spans="1:5" x14ac:dyDescent="0.25">
      <c r="A1" s="4" t="s">
        <v>133</v>
      </c>
      <c r="B1" s="4"/>
      <c r="C1" s="4"/>
      <c r="D1" s="4"/>
    </row>
    <row r="2" spans="1:5" x14ac:dyDescent="0.25">
      <c r="A2" t="s">
        <v>124</v>
      </c>
      <c r="B2" t="s">
        <v>125</v>
      </c>
      <c r="C2" t="s">
        <v>126</v>
      </c>
      <c r="D2" t="s">
        <v>127</v>
      </c>
      <c r="E2" t="s">
        <v>143</v>
      </c>
    </row>
    <row r="3" spans="1:5" x14ac:dyDescent="0.25">
      <c r="A3">
        <v>3</v>
      </c>
      <c r="B3">
        <v>1</v>
      </c>
      <c r="C3">
        <v>1</v>
      </c>
      <c r="D3" s="3" t="s">
        <v>128</v>
      </c>
      <c r="E3" t="str">
        <f>A3&amp;B3&amp;C3&amp;D3</f>
        <v>3110001</v>
      </c>
    </row>
    <row r="4" spans="1:5" x14ac:dyDescent="0.25">
      <c r="A4">
        <v>3</v>
      </c>
      <c r="B4">
        <v>1</v>
      </c>
      <c r="C4">
        <v>2</v>
      </c>
      <c r="D4" s="3" t="s">
        <v>128</v>
      </c>
      <c r="E4" t="str">
        <f t="shared" ref="E4:E9" si="0">A4&amp;B4&amp;C4&amp;D4</f>
        <v>3120001</v>
      </c>
    </row>
    <row r="5" spans="1:5" x14ac:dyDescent="0.25">
      <c r="A5">
        <v>3</v>
      </c>
      <c r="B5">
        <v>1</v>
      </c>
      <c r="C5">
        <v>3</v>
      </c>
      <c r="D5" s="3" t="s">
        <v>128</v>
      </c>
      <c r="E5" t="str">
        <f t="shared" si="0"/>
        <v>3130001</v>
      </c>
    </row>
    <row r="6" spans="1:5" x14ac:dyDescent="0.25">
      <c r="A6">
        <v>3</v>
      </c>
      <c r="B6">
        <v>2</v>
      </c>
      <c r="C6">
        <v>1</v>
      </c>
      <c r="D6" s="3" t="s">
        <v>128</v>
      </c>
      <c r="E6" t="str">
        <f t="shared" si="0"/>
        <v>3210001</v>
      </c>
    </row>
    <row r="7" spans="1:5" x14ac:dyDescent="0.25">
      <c r="A7">
        <v>3</v>
      </c>
      <c r="B7">
        <v>2</v>
      </c>
      <c r="C7">
        <v>2</v>
      </c>
      <c r="D7" s="3" t="s">
        <v>128</v>
      </c>
      <c r="E7" t="str">
        <f t="shared" si="0"/>
        <v>3220001</v>
      </c>
    </row>
    <row r="8" spans="1:5" x14ac:dyDescent="0.25">
      <c r="A8">
        <v>3</v>
      </c>
      <c r="B8">
        <v>4</v>
      </c>
      <c r="C8">
        <v>1</v>
      </c>
      <c r="D8" s="3" t="s">
        <v>128</v>
      </c>
      <c r="E8" t="str">
        <f t="shared" si="0"/>
        <v>3410001</v>
      </c>
    </row>
    <row r="9" spans="1:5" x14ac:dyDescent="0.25">
      <c r="A9">
        <v>3</v>
      </c>
      <c r="B9">
        <v>5</v>
      </c>
      <c r="C9">
        <v>1</v>
      </c>
      <c r="D9" s="3" t="s">
        <v>128</v>
      </c>
      <c r="E9" t="str">
        <f t="shared" si="0"/>
        <v>3510001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9004-110C-4C81-8A49-A114F1FF419B}">
  <dimension ref="A1:N30"/>
  <sheetViews>
    <sheetView tabSelected="1" topLeftCell="A7" workbookViewId="0">
      <selection activeCell="G11" sqref="G11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3.85546875" bestFit="1" customWidth="1"/>
    <col min="4" max="4" width="12.140625" bestFit="1" customWidth="1"/>
    <col min="5" max="5" width="21.85546875" bestFit="1" customWidth="1"/>
    <col min="6" max="6" width="29.28515625" bestFit="1" customWidth="1"/>
    <col min="7" max="7" width="71.140625" bestFit="1" customWidth="1"/>
    <col min="8" max="8" width="79.42578125" bestFit="1" customWidth="1"/>
    <col min="9" max="9" width="26.28515625" bestFit="1" customWidth="1"/>
    <col min="10" max="10" width="26.5703125" bestFit="1" customWidth="1"/>
    <col min="11" max="11" width="25.28515625" bestFit="1" customWidth="1"/>
    <col min="12" max="12" width="25.7109375" bestFit="1" customWidth="1"/>
    <col min="13" max="13" width="27" bestFit="1" customWidth="1"/>
    <col min="14" max="14" width="59.5703125" bestFit="1" customWidth="1"/>
    <col min="16" max="16" width="59.5703125" bestFit="1" customWidth="1"/>
  </cols>
  <sheetData>
    <row r="1" spans="1:14" x14ac:dyDescent="0.25">
      <c r="A1" s="4" t="s">
        <v>133</v>
      </c>
      <c r="B1" s="4"/>
      <c r="C1" s="4"/>
      <c r="D1" s="4"/>
    </row>
    <row r="2" spans="1:14" x14ac:dyDescent="0.25">
      <c r="A2" t="s">
        <v>124</v>
      </c>
      <c r="B2" t="s">
        <v>125</v>
      </c>
      <c r="C2" t="s">
        <v>126</v>
      </c>
      <c r="D2" t="s">
        <v>127</v>
      </c>
      <c r="E2" t="s">
        <v>103</v>
      </c>
      <c r="F2" t="s">
        <v>147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</row>
    <row r="3" spans="1:14" x14ac:dyDescent="0.25">
      <c r="A3">
        <v>6</v>
      </c>
      <c r="B3">
        <v>1</v>
      </c>
      <c r="C3">
        <v>1</v>
      </c>
      <c r="D3" s="3" t="s">
        <v>128</v>
      </c>
      <c r="E3" t="str">
        <f>A3&amp;B3&amp;C3&amp;D3</f>
        <v>6110001</v>
      </c>
      <c r="F3" t="str">
        <f>A3&amp;B3&amp;C3</f>
        <v>611</v>
      </c>
      <c r="G3" t="s">
        <v>0</v>
      </c>
      <c r="H3" t="s">
        <v>48</v>
      </c>
      <c r="I3" t="s">
        <v>1</v>
      </c>
      <c r="J3" t="s">
        <v>2</v>
      </c>
      <c r="K3">
        <v>2026</v>
      </c>
      <c r="L3" t="s">
        <v>3</v>
      </c>
      <c r="M3" t="s">
        <v>4</v>
      </c>
      <c r="N3" t="s">
        <v>19</v>
      </c>
    </row>
    <row r="4" spans="1:14" x14ac:dyDescent="0.25">
      <c r="A4">
        <v>6</v>
      </c>
      <c r="B4">
        <v>1</v>
      </c>
      <c r="C4">
        <v>1</v>
      </c>
      <c r="D4" s="3" t="s">
        <v>129</v>
      </c>
      <c r="E4" t="str">
        <f t="shared" ref="E4:E30" si="0">A4&amp;B4&amp;C4&amp;D4</f>
        <v>6110002</v>
      </c>
      <c r="F4" t="str">
        <f>A4&amp;B4&amp;C4</f>
        <v>611</v>
      </c>
      <c r="G4" t="s">
        <v>54</v>
      </c>
      <c r="H4" t="s">
        <v>47</v>
      </c>
      <c r="I4" t="s">
        <v>5</v>
      </c>
      <c r="J4" t="s">
        <v>6</v>
      </c>
      <c r="K4">
        <v>2026</v>
      </c>
      <c r="L4" t="s">
        <v>3</v>
      </c>
      <c r="M4" t="s">
        <v>4</v>
      </c>
      <c r="N4" t="s">
        <v>20</v>
      </c>
    </row>
    <row r="5" spans="1:14" x14ac:dyDescent="0.25">
      <c r="A5">
        <v>6</v>
      </c>
      <c r="B5">
        <v>1</v>
      </c>
      <c r="C5">
        <v>1</v>
      </c>
      <c r="D5" s="3" t="s">
        <v>130</v>
      </c>
      <c r="E5" t="str">
        <f t="shared" si="0"/>
        <v>6110003</v>
      </c>
      <c r="F5" t="str">
        <f>A5&amp;B5&amp;C5</f>
        <v>611</v>
      </c>
      <c r="G5" t="s">
        <v>55</v>
      </c>
      <c r="H5" t="s">
        <v>49</v>
      </c>
      <c r="I5" t="s">
        <v>5</v>
      </c>
      <c r="J5" t="s">
        <v>7</v>
      </c>
      <c r="K5">
        <v>2026</v>
      </c>
      <c r="L5" t="s">
        <v>3</v>
      </c>
      <c r="M5" t="s">
        <v>4</v>
      </c>
      <c r="N5" t="s">
        <v>21</v>
      </c>
    </row>
    <row r="6" spans="1:14" x14ac:dyDescent="0.25">
      <c r="A6">
        <v>6</v>
      </c>
      <c r="B6">
        <v>1</v>
      </c>
      <c r="C6">
        <v>1</v>
      </c>
      <c r="D6" s="3" t="s">
        <v>131</v>
      </c>
      <c r="E6" t="str">
        <f t="shared" si="0"/>
        <v>6110004</v>
      </c>
      <c r="F6" t="str">
        <f>A6&amp;B6&amp;C6</f>
        <v>611</v>
      </c>
      <c r="G6" t="s">
        <v>63</v>
      </c>
      <c r="H6" t="s">
        <v>50</v>
      </c>
      <c r="I6" t="s">
        <v>5</v>
      </c>
      <c r="J6" t="s">
        <v>8</v>
      </c>
      <c r="K6">
        <v>2026</v>
      </c>
      <c r="L6" t="s">
        <v>3</v>
      </c>
      <c r="M6" t="s">
        <v>4</v>
      </c>
      <c r="N6" t="s">
        <v>22</v>
      </c>
    </row>
    <row r="7" spans="1:14" x14ac:dyDescent="0.25">
      <c r="A7">
        <v>6</v>
      </c>
      <c r="B7">
        <v>1</v>
      </c>
      <c r="C7">
        <v>1</v>
      </c>
      <c r="D7" s="3" t="s">
        <v>132</v>
      </c>
      <c r="E7" t="str">
        <f t="shared" si="0"/>
        <v>6110005</v>
      </c>
      <c r="F7" t="str">
        <f>A7&amp;B7&amp;C7</f>
        <v>611</v>
      </c>
      <c r="G7" t="s">
        <v>64</v>
      </c>
      <c r="H7" t="s">
        <v>51</v>
      </c>
      <c r="I7" t="s">
        <v>5</v>
      </c>
      <c r="J7" t="s">
        <v>9</v>
      </c>
      <c r="K7">
        <v>2026</v>
      </c>
      <c r="L7" t="s">
        <v>3</v>
      </c>
      <c r="M7" t="s">
        <v>4</v>
      </c>
      <c r="N7" t="s">
        <v>23</v>
      </c>
    </row>
    <row r="8" spans="1:14" x14ac:dyDescent="0.25">
      <c r="A8">
        <v>6</v>
      </c>
      <c r="B8">
        <v>1</v>
      </c>
      <c r="C8">
        <v>1</v>
      </c>
      <c r="D8" s="3" t="s">
        <v>134</v>
      </c>
      <c r="E8" t="str">
        <f t="shared" si="0"/>
        <v>6110006</v>
      </c>
      <c r="F8" t="str">
        <f>A8&amp;B8&amp;C8</f>
        <v>611</v>
      </c>
      <c r="G8" t="s">
        <v>65</v>
      </c>
      <c r="H8" t="s">
        <v>52</v>
      </c>
      <c r="I8" t="s">
        <v>5</v>
      </c>
      <c r="J8" t="s">
        <v>10</v>
      </c>
      <c r="K8">
        <v>2026</v>
      </c>
      <c r="L8" t="s">
        <v>3</v>
      </c>
      <c r="M8" t="s">
        <v>4</v>
      </c>
      <c r="N8" t="s">
        <v>24</v>
      </c>
    </row>
    <row r="9" spans="1:14" x14ac:dyDescent="0.25">
      <c r="A9">
        <v>6</v>
      </c>
      <c r="B9">
        <v>1</v>
      </c>
      <c r="C9">
        <v>1</v>
      </c>
      <c r="D9" s="3" t="s">
        <v>135</v>
      </c>
      <c r="E9" t="str">
        <f t="shared" si="0"/>
        <v>6110007</v>
      </c>
      <c r="F9" t="str">
        <f>A9&amp;B9&amp;C9</f>
        <v>611</v>
      </c>
      <c r="G9" t="s">
        <v>66</v>
      </c>
      <c r="H9" t="s">
        <v>53</v>
      </c>
      <c r="I9" t="s">
        <v>5</v>
      </c>
      <c r="J9" t="s">
        <v>11</v>
      </c>
      <c r="K9">
        <v>2026</v>
      </c>
      <c r="L9" t="s">
        <v>3</v>
      </c>
      <c r="M9" t="s">
        <v>4</v>
      </c>
      <c r="N9" t="s">
        <v>25</v>
      </c>
    </row>
    <row r="10" spans="1:14" x14ac:dyDescent="0.25">
      <c r="A10">
        <v>6</v>
      </c>
      <c r="B10">
        <v>1</v>
      </c>
      <c r="C10">
        <v>1</v>
      </c>
      <c r="D10" s="3" t="s">
        <v>136</v>
      </c>
      <c r="E10" t="str">
        <f t="shared" si="0"/>
        <v>6110008</v>
      </c>
      <c r="F10" t="str">
        <f>A10&amp;B10&amp;C10</f>
        <v>611</v>
      </c>
      <c r="G10" t="s">
        <v>67</v>
      </c>
      <c r="H10" t="s">
        <v>56</v>
      </c>
      <c r="I10" t="s">
        <v>5</v>
      </c>
      <c r="J10" t="s">
        <v>12</v>
      </c>
      <c r="K10">
        <v>2026</v>
      </c>
      <c r="L10" t="s">
        <v>3</v>
      </c>
      <c r="M10" t="s">
        <v>4</v>
      </c>
      <c r="N10" t="s">
        <v>26</v>
      </c>
    </row>
    <row r="11" spans="1:14" x14ac:dyDescent="0.25">
      <c r="A11">
        <v>6</v>
      </c>
      <c r="B11">
        <v>1</v>
      </c>
      <c r="C11">
        <v>1</v>
      </c>
      <c r="D11" s="3" t="s">
        <v>137</v>
      </c>
      <c r="E11" t="str">
        <f t="shared" si="0"/>
        <v>6110009</v>
      </c>
      <c r="F11" t="str">
        <f>A11&amp;B11&amp;C11</f>
        <v>611</v>
      </c>
      <c r="G11" t="s">
        <v>68</v>
      </c>
      <c r="H11" t="s">
        <v>57</v>
      </c>
      <c r="I11" t="s">
        <v>5</v>
      </c>
      <c r="J11" t="s">
        <v>13</v>
      </c>
      <c r="K11">
        <v>2026</v>
      </c>
      <c r="L11" t="s">
        <v>3</v>
      </c>
      <c r="M11" t="s">
        <v>4</v>
      </c>
      <c r="N11" t="s">
        <v>27</v>
      </c>
    </row>
    <row r="12" spans="1:14" x14ac:dyDescent="0.25">
      <c r="A12">
        <v>6</v>
      </c>
      <c r="B12">
        <v>1</v>
      </c>
      <c r="C12">
        <v>1</v>
      </c>
      <c r="D12" s="3" t="s">
        <v>138</v>
      </c>
      <c r="E12" t="str">
        <f t="shared" si="0"/>
        <v>6110010</v>
      </c>
      <c r="F12" t="str">
        <f>A12&amp;B12&amp;C12</f>
        <v>611</v>
      </c>
      <c r="G12" t="s">
        <v>69</v>
      </c>
      <c r="H12" t="s">
        <v>58</v>
      </c>
      <c r="I12" t="s">
        <v>5</v>
      </c>
      <c r="J12" t="s">
        <v>14</v>
      </c>
      <c r="K12">
        <v>2026</v>
      </c>
      <c r="L12" t="s">
        <v>3</v>
      </c>
      <c r="M12" t="s">
        <v>4</v>
      </c>
      <c r="N12" t="s">
        <v>28</v>
      </c>
    </row>
    <row r="13" spans="1:14" x14ac:dyDescent="0.25">
      <c r="A13">
        <v>6</v>
      </c>
      <c r="B13">
        <v>1</v>
      </c>
      <c r="C13">
        <v>1</v>
      </c>
      <c r="D13" s="3" t="s">
        <v>139</v>
      </c>
      <c r="E13" t="str">
        <f t="shared" si="0"/>
        <v>6110011</v>
      </c>
      <c r="F13" t="str">
        <f>A13&amp;B13&amp;C13</f>
        <v>611</v>
      </c>
      <c r="G13" t="s">
        <v>70</v>
      </c>
      <c r="H13" t="s">
        <v>59</v>
      </c>
      <c r="I13" t="s">
        <v>5</v>
      </c>
      <c r="J13" t="s">
        <v>15</v>
      </c>
      <c r="K13">
        <v>2026</v>
      </c>
      <c r="L13" t="s">
        <v>3</v>
      </c>
      <c r="M13" t="s">
        <v>4</v>
      </c>
      <c r="N13" t="s">
        <v>29</v>
      </c>
    </row>
    <row r="14" spans="1:14" x14ac:dyDescent="0.25">
      <c r="A14">
        <v>6</v>
      </c>
      <c r="B14">
        <v>1</v>
      </c>
      <c r="C14">
        <v>1</v>
      </c>
      <c r="D14" s="3" t="s">
        <v>140</v>
      </c>
      <c r="E14" t="str">
        <f t="shared" si="0"/>
        <v>6110012</v>
      </c>
      <c r="F14" t="str">
        <f>A14&amp;B14&amp;C14</f>
        <v>611</v>
      </c>
      <c r="G14" t="s">
        <v>71</v>
      </c>
      <c r="H14" t="s">
        <v>60</v>
      </c>
      <c r="I14" t="s">
        <v>5</v>
      </c>
      <c r="J14" t="s">
        <v>16</v>
      </c>
      <c r="K14">
        <v>2026</v>
      </c>
      <c r="L14" t="s">
        <v>3</v>
      </c>
      <c r="M14" t="s">
        <v>4</v>
      </c>
      <c r="N14" t="s">
        <v>30</v>
      </c>
    </row>
    <row r="15" spans="1:14" x14ac:dyDescent="0.25">
      <c r="A15">
        <v>6</v>
      </c>
      <c r="B15">
        <v>1</v>
      </c>
      <c r="C15">
        <v>1</v>
      </c>
      <c r="D15" s="3" t="s">
        <v>141</v>
      </c>
      <c r="E15" t="str">
        <f t="shared" si="0"/>
        <v>6110013</v>
      </c>
      <c r="F15" t="str">
        <f>A15&amp;B15&amp;C15</f>
        <v>611</v>
      </c>
      <c r="G15" t="s">
        <v>72</v>
      </c>
      <c r="H15" t="s">
        <v>61</v>
      </c>
      <c r="I15" t="s">
        <v>5</v>
      </c>
      <c r="J15" t="s">
        <v>17</v>
      </c>
      <c r="K15">
        <v>2026</v>
      </c>
      <c r="L15" t="s">
        <v>3</v>
      </c>
      <c r="M15" t="s">
        <v>4</v>
      </c>
      <c r="N15" t="s">
        <v>31</v>
      </c>
    </row>
    <row r="16" spans="1:14" ht="15.75" thickBot="1" x14ac:dyDescent="0.3">
      <c r="A16">
        <v>6</v>
      </c>
      <c r="B16">
        <v>1</v>
      </c>
      <c r="C16">
        <v>1</v>
      </c>
      <c r="D16" s="3" t="s">
        <v>142</v>
      </c>
      <c r="E16" t="str">
        <f t="shared" si="0"/>
        <v>6110014</v>
      </c>
      <c r="F16" t="str">
        <f>A16&amp;B16&amp;C16</f>
        <v>611</v>
      </c>
      <c r="G16" t="s">
        <v>73</v>
      </c>
      <c r="H16" t="s">
        <v>62</v>
      </c>
      <c r="I16" t="s">
        <v>5</v>
      </c>
      <c r="J16" t="s">
        <v>18</v>
      </c>
      <c r="K16">
        <v>2026</v>
      </c>
      <c r="L16" t="s">
        <v>3</v>
      </c>
      <c r="M16" t="s">
        <v>4</v>
      </c>
      <c r="N16" t="s">
        <v>32</v>
      </c>
    </row>
    <row r="17" spans="1:13" ht="15.75" thickBot="1" x14ac:dyDescent="0.3">
      <c r="A17">
        <v>6</v>
      </c>
      <c r="B17">
        <v>2</v>
      </c>
      <c r="C17">
        <v>1</v>
      </c>
      <c r="D17" s="3" t="s">
        <v>128</v>
      </c>
      <c r="E17" t="str">
        <f t="shared" si="0"/>
        <v>6210001</v>
      </c>
      <c r="F17" t="str">
        <f>A17&amp;B17&amp;C17</f>
        <v>621</v>
      </c>
      <c r="G17" s="1" t="s">
        <v>35</v>
      </c>
      <c r="H17" s="1" t="s">
        <v>48</v>
      </c>
      <c r="I17" t="s">
        <v>1</v>
      </c>
      <c r="J17" s="2" t="s">
        <v>38</v>
      </c>
      <c r="K17">
        <v>2013</v>
      </c>
      <c r="L17" t="s">
        <v>46</v>
      </c>
      <c r="M17" t="s">
        <v>4</v>
      </c>
    </row>
    <row r="18" spans="1:13" x14ac:dyDescent="0.25">
      <c r="A18">
        <v>6</v>
      </c>
      <c r="B18">
        <v>2</v>
      </c>
      <c r="C18">
        <v>1</v>
      </c>
      <c r="D18" s="3" t="s">
        <v>129</v>
      </c>
      <c r="E18" t="str">
        <f t="shared" si="0"/>
        <v>6210002</v>
      </c>
      <c r="F18" t="str">
        <f>A18&amp;B18&amp;C18</f>
        <v>621</v>
      </c>
      <c r="G18" s="1" t="s">
        <v>75</v>
      </c>
      <c r="H18" s="1" t="s">
        <v>35</v>
      </c>
      <c r="I18" t="s">
        <v>37</v>
      </c>
      <c r="J18" s="1" t="s">
        <v>39</v>
      </c>
      <c r="K18">
        <v>2020</v>
      </c>
      <c r="L18" t="s">
        <v>3</v>
      </c>
      <c r="M18" t="s">
        <v>4</v>
      </c>
    </row>
    <row r="19" spans="1:13" ht="15.75" thickBot="1" x14ac:dyDescent="0.3">
      <c r="A19">
        <v>6</v>
      </c>
      <c r="B19">
        <v>2</v>
      </c>
      <c r="C19">
        <v>1</v>
      </c>
      <c r="D19" s="3" t="s">
        <v>130</v>
      </c>
      <c r="E19" t="str">
        <f t="shared" si="0"/>
        <v>6210003</v>
      </c>
      <c r="F19" t="str">
        <f>A19&amp;B19&amp;C19</f>
        <v>621</v>
      </c>
      <c r="G19" s="1" t="s">
        <v>75</v>
      </c>
      <c r="H19" s="1" t="s">
        <v>74</v>
      </c>
      <c r="I19" t="s">
        <v>37</v>
      </c>
      <c r="J19" s="1" t="s">
        <v>40</v>
      </c>
      <c r="K19">
        <v>2024</v>
      </c>
      <c r="L19" t="s">
        <v>3</v>
      </c>
      <c r="M19" t="s">
        <v>4</v>
      </c>
    </row>
    <row r="20" spans="1:13" ht="15.75" thickBot="1" x14ac:dyDescent="0.3">
      <c r="A20">
        <v>6</v>
      </c>
      <c r="B20">
        <v>2</v>
      </c>
      <c r="C20">
        <v>2</v>
      </c>
      <c r="D20" s="3" t="s">
        <v>128</v>
      </c>
      <c r="E20" t="str">
        <f t="shared" si="0"/>
        <v>6220001</v>
      </c>
      <c r="F20" t="str">
        <f>A20&amp;B20&amp;C20</f>
        <v>622</v>
      </c>
      <c r="G20" s="1" t="s">
        <v>36</v>
      </c>
      <c r="H20" s="1" t="s">
        <v>48</v>
      </c>
      <c r="I20" t="s">
        <v>1</v>
      </c>
      <c r="J20" s="2" t="s">
        <v>41</v>
      </c>
      <c r="K20" s="2">
        <v>2014</v>
      </c>
      <c r="L20" t="s">
        <v>3</v>
      </c>
      <c r="M20" t="s">
        <v>4</v>
      </c>
    </row>
    <row r="21" spans="1:13" x14ac:dyDescent="0.25">
      <c r="A21">
        <v>6</v>
      </c>
      <c r="B21">
        <v>2</v>
      </c>
      <c r="C21">
        <v>2</v>
      </c>
      <c r="D21" s="3" t="s">
        <v>129</v>
      </c>
      <c r="E21" t="str">
        <f t="shared" si="0"/>
        <v>6220002</v>
      </c>
      <c r="F21" t="str">
        <f>A21&amp;B21&amp;C21</f>
        <v>622</v>
      </c>
      <c r="G21" s="1" t="s">
        <v>75</v>
      </c>
      <c r="H21" s="1" t="s">
        <v>76</v>
      </c>
      <c r="I21" t="s">
        <v>37</v>
      </c>
      <c r="J21" s="1" t="s">
        <v>42</v>
      </c>
      <c r="K21">
        <v>2020</v>
      </c>
      <c r="L21" t="s">
        <v>3</v>
      </c>
      <c r="M21" t="s">
        <v>4</v>
      </c>
    </row>
    <row r="22" spans="1:13" x14ac:dyDescent="0.25">
      <c r="A22">
        <v>6</v>
      </c>
      <c r="B22">
        <v>2</v>
      </c>
      <c r="C22">
        <v>2</v>
      </c>
      <c r="D22" s="3" t="s">
        <v>130</v>
      </c>
      <c r="E22" t="str">
        <f t="shared" si="0"/>
        <v>6220003</v>
      </c>
      <c r="F22" t="str">
        <f>A22&amp;B22&amp;C22</f>
        <v>622</v>
      </c>
      <c r="G22" s="1" t="s">
        <v>75</v>
      </c>
      <c r="H22" s="1" t="s">
        <v>77</v>
      </c>
      <c r="I22" t="s">
        <v>37</v>
      </c>
      <c r="J22" s="1" t="s">
        <v>43</v>
      </c>
      <c r="K22">
        <v>2020</v>
      </c>
      <c r="L22" t="s">
        <v>3</v>
      </c>
      <c r="M22" t="s">
        <v>4</v>
      </c>
    </row>
    <row r="23" spans="1:13" x14ac:dyDescent="0.25">
      <c r="A23">
        <v>6</v>
      </c>
      <c r="B23">
        <v>2</v>
      </c>
      <c r="C23">
        <v>2</v>
      </c>
      <c r="D23" s="3" t="s">
        <v>131</v>
      </c>
      <c r="E23" t="str">
        <f t="shared" si="0"/>
        <v>6220004</v>
      </c>
      <c r="F23" t="str">
        <f>A23&amp;B23&amp;C23</f>
        <v>622</v>
      </c>
      <c r="G23" s="1" t="s">
        <v>75</v>
      </c>
      <c r="H23" s="1" t="s">
        <v>78</v>
      </c>
      <c r="I23" t="s">
        <v>37</v>
      </c>
      <c r="J23" s="1" t="s">
        <v>44</v>
      </c>
      <c r="K23">
        <v>2024</v>
      </c>
      <c r="L23" t="s">
        <v>3</v>
      </c>
      <c r="M23" t="s">
        <v>4</v>
      </c>
    </row>
    <row r="24" spans="1:13" x14ac:dyDescent="0.25">
      <c r="A24">
        <v>6</v>
      </c>
      <c r="B24">
        <v>2</v>
      </c>
      <c r="C24">
        <v>2</v>
      </c>
      <c r="D24" s="3" t="s">
        <v>132</v>
      </c>
      <c r="E24" t="str">
        <f t="shared" si="0"/>
        <v>6220005</v>
      </c>
      <c r="F24" t="str">
        <f>A24&amp;B24&amp;C24</f>
        <v>622</v>
      </c>
      <c r="G24" s="1" t="s">
        <v>75</v>
      </c>
      <c r="H24" s="1" t="s">
        <v>79</v>
      </c>
      <c r="I24" t="s">
        <v>37</v>
      </c>
      <c r="J24" s="1" t="s">
        <v>45</v>
      </c>
      <c r="K24">
        <v>2025</v>
      </c>
      <c r="L24" t="s">
        <v>3</v>
      </c>
      <c r="M24" t="s">
        <v>4</v>
      </c>
    </row>
    <row r="25" spans="1:13" x14ac:dyDescent="0.25">
      <c r="A25">
        <v>6</v>
      </c>
      <c r="B25">
        <v>2</v>
      </c>
      <c r="C25">
        <v>3</v>
      </c>
      <c r="D25" s="3" t="s">
        <v>128</v>
      </c>
      <c r="E25" t="str">
        <f t="shared" si="0"/>
        <v>6230001</v>
      </c>
      <c r="F25" t="str">
        <f>A25&amp;B25&amp;C25</f>
        <v>623</v>
      </c>
      <c r="G25" s="1" t="s">
        <v>33</v>
      </c>
      <c r="H25" s="1" t="s">
        <v>48</v>
      </c>
      <c r="I25" t="s">
        <v>1</v>
      </c>
      <c r="J25" s="1" t="s">
        <v>34</v>
      </c>
      <c r="K25" s="1">
        <v>2014</v>
      </c>
      <c r="L25" t="s">
        <v>3</v>
      </c>
      <c r="M25" t="s">
        <v>4</v>
      </c>
    </row>
    <row r="26" spans="1:13" x14ac:dyDescent="0.25">
      <c r="A26">
        <v>6</v>
      </c>
      <c r="B26">
        <v>3</v>
      </c>
      <c r="C26">
        <v>1</v>
      </c>
      <c r="D26" s="3" t="s">
        <v>128</v>
      </c>
      <c r="E26" t="str">
        <f t="shared" si="0"/>
        <v>6310001</v>
      </c>
      <c r="F26" t="str">
        <f>A26&amp;B26&amp;C26</f>
        <v>631</v>
      </c>
      <c r="G26" s="1" t="s">
        <v>75</v>
      </c>
      <c r="H26" t="s">
        <v>85</v>
      </c>
      <c r="I26" t="s">
        <v>37</v>
      </c>
      <c r="J26" s="1" t="s">
        <v>80</v>
      </c>
      <c r="K26">
        <v>2020</v>
      </c>
      <c r="L26" t="s">
        <v>3</v>
      </c>
      <c r="M26" t="s">
        <v>4</v>
      </c>
    </row>
    <row r="27" spans="1:13" x14ac:dyDescent="0.25">
      <c r="A27">
        <v>6</v>
      </c>
      <c r="B27">
        <v>3</v>
      </c>
      <c r="C27">
        <v>1</v>
      </c>
      <c r="D27" s="3" t="s">
        <v>129</v>
      </c>
      <c r="E27" t="str">
        <f t="shared" si="0"/>
        <v>6310002</v>
      </c>
      <c r="F27" t="str">
        <f>A27&amp;B27&amp;C27</f>
        <v>631</v>
      </c>
      <c r="G27" s="1" t="s">
        <v>75</v>
      </c>
      <c r="H27" t="s">
        <v>86</v>
      </c>
      <c r="I27" t="s">
        <v>37</v>
      </c>
      <c r="J27" s="1" t="s">
        <v>81</v>
      </c>
      <c r="K27">
        <v>2020</v>
      </c>
      <c r="L27" t="s">
        <v>3</v>
      </c>
      <c r="M27" t="s">
        <v>4</v>
      </c>
    </row>
    <row r="28" spans="1:13" x14ac:dyDescent="0.25">
      <c r="A28">
        <v>6</v>
      </c>
      <c r="B28">
        <v>3</v>
      </c>
      <c r="C28">
        <v>1</v>
      </c>
      <c r="D28" s="3" t="s">
        <v>130</v>
      </c>
      <c r="E28" t="str">
        <f t="shared" si="0"/>
        <v>6310003</v>
      </c>
      <c r="F28" t="str">
        <f>A28&amp;B28&amp;C28</f>
        <v>631</v>
      </c>
      <c r="G28" s="1" t="s">
        <v>75</v>
      </c>
      <c r="H28" t="s">
        <v>87</v>
      </c>
      <c r="I28" t="s">
        <v>37</v>
      </c>
      <c r="J28" s="1" t="s">
        <v>82</v>
      </c>
      <c r="K28">
        <v>2020</v>
      </c>
      <c r="L28" t="s">
        <v>3</v>
      </c>
      <c r="M28" t="s">
        <v>4</v>
      </c>
    </row>
    <row r="29" spans="1:13" x14ac:dyDescent="0.25">
      <c r="A29">
        <v>6</v>
      </c>
      <c r="B29">
        <v>4</v>
      </c>
      <c r="C29">
        <v>1</v>
      </c>
      <c r="D29" s="3" t="s">
        <v>128</v>
      </c>
      <c r="E29" t="str">
        <f t="shared" si="0"/>
        <v>6410001</v>
      </c>
      <c r="F29" t="str">
        <f>A29&amp;B29&amp;C29</f>
        <v>641</v>
      </c>
      <c r="G29" t="s">
        <v>83</v>
      </c>
      <c r="H29" t="s">
        <v>84</v>
      </c>
      <c r="I29" t="s">
        <v>88</v>
      </c>
      <c r="J29" s="1" t="s">
        <v>89</v>
      </c>
      <c r="K29">
        <v>2018</v>
      </c>
      <c r="L29" t="s">
        <v>3</v>
      </c>
      <c r="M29" t="s">
        <v>4</v>
      </c>
    </row>
    <row r="30" spans="1:13" x14ac:dyDescent="0.25">
      <c r="A30">
        <v>6</v>
      </c>
      <c r="B30">
        <v>4</v>
      </c>
      <c r="C30">
        <v>1</v>
      </c>
      <c r="D30" s="3" t="s">
        <v>129</v>
      </c>
      <c r="E30" t="str">
        <f t="shared" si="0"/>
        <v>6410002</v>
      </c>
      <c r="F30" t="str">
        <f>A30&amp;B30&amp;C30</f>
        <v>641</v>
      </c>
      <c r="G30" t="s">
        <v>83</v>
      </c>
      <c r="H30" t="s">
        <v>90</v>
      </c>
      <c r="I30" t="s">
        <v>88</v>
      </c>
      <c r="J30" s="1" t="s">
        <v>91</v>
      </c>
      <c r="K30">
        <v>2015</v>
      </c>
      <c r="L30" t="s">
        <v>3</v>
      </c>
      <c r="M30" t="s">
        <v>4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1_home</vt:lpstr>
      <vt:lpstr>2_tentang</vt:lpstr>
      <vt:lpstr>3_spmi_ami</vt:lpstr>
      <vt:lpstr>31_siklus_spmi</vt:lpstr>
      <vt:lpstr>6_peraturan_dokumen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Yudha Perdana</dc:creator>
  <cp:lastModifiedBy>Putra Yudha Perdana</cp:lastModifiedBy>
  <dcterms:created xsi:type="dcterms:W3CDTF">2026-06-15T05:57:28Z</dcterms:created>
  <dcterms:modified xsi:type="dcterms:W3CDTF">2026-06-18T03:03:30Z</dcterms:modified>
</cp:coreProperties>
</file>